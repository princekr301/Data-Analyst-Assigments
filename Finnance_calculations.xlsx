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593183480c0a70/Desktop/"/>
    </mc:Choice>
  </mc:AlternateContent>
  <xr:revisionPtr revIDLastSave="130" documentId="8_{1AF28905-1DDD-43EC-A239-DE74D2703A71}" xr6:coauthVersionLast="47" xr6:coauthVersionMax="47" xr10:uidLastSave="{24740188-7A45-4F58-9AE6-3A3DE9F2EB67}"/>
  <bookViews>
    <workbookView xWindow="-108" yWindow="-108" windowWidth="23256" windowHeight="13896" activeTab="4" xr2:uid="{E7D8ED6B-E3AF-4006-A8F8-BC8A20FBA768}"/>
  </bookViews>
  <sheets>
    <sheet name="PMT." sheetId="4" r:id="rId1"/>
    <sheet name="Sheet1" sheetId="7" r:id="rId2"/>
    <sheet name="IPMT" sheetId="5" r:id="rId3"/>
    <sheet name="PPMT" sheetId="6" r:id="rId4"/>
    <sheet name="Sheet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8" l="1"/>
  <c r="F11" i="8"/>
  <c r="F10" i="8"/>
  <c r="H6" i="8"/>
  <c r="J17" i="6"/>
  <c r="F25" i="5"/>
  <c r="F24" i="5"/>
  <c r="F23" i="5" s="1"/>
  <c r="K9" i="7"/>
  <c r="K7" i="7"/>
  <c r="H26" i="6"/>
  <c r="H25" i="6"/>
  <c r="H24" i="6"/>
  <c r="F23" i="4"/>
  <c r="E31" i="4"/>
</calcChain>
</file>

<file path=xl/sharedStrings.xml><?xml version="1.0" encoding="utf-8"?>
<sst xmlns="http://schemas.openxmlformats.org/spreadsheetml/2006/main" count="67" uniqueCount="53">
  <si>
    <t>PMT(rate, nper, pv, [fv], [type])</t>
  </si>
  <si>
    <t>Here's what each argument means:</t>
  </si>
  <si>
    <t>For example, to calculate the monthly payment for a loan of ₹1,00,000 with an annual interest rate of 5% over 5 years, you'd use:</t>
  </si>
  <si>
    <t>PMT stands for "payment" in Excel. It's a financial function that calculates loan payments. </t>
  </si>
  <si>
    <t>The PMT function is useful for planning loan schedules and payments</t>
  </si>
  <si>
    <r>
      <t>rate:</t>
    </r>
    <r>
      <rPr>
        <sz val="11"/>
        <color theme="7" tint="-0.499984740745262"/>
        <rFont val="Calibri"/>
        <family val="2"/>
        <scheme val="minor"/>
      </rPr>
      <t xml:space="preserve"> The interest rate for each period.</t>
    </r>
  </si>
  <si>
    <r>
      <t>nper:</t>
    </r>
    <r>
      <rPr>
        <sz val="11"/>
        <color theme="7" tint="-0.499984740745262"/>
        <rFont val="Calibri"/>
        <family val="2"/>
        <scheme val="minor"/>
      </rPr>
      <t xml:space="preserve"> The total number of payment periods in the loan.</t>
    </r>
  </si>
  <si>
    <r>
      <t>pv:</t>
    </r>
    <r>
      <rPr>
        <sz val="11"/>
        <color theme="7" tint="-0.499984740745262"/>
        <rFont val="Calibri"/>
        <family val="2"/>
        <scheme val="minor"/>
      </rPr>
      <t xml:space="preserve"> The present value, or the total amount that a series of future payments is worth now; also known as the principal.</t>
    </r>
  </si>
  <si>
    <r>
      <t>fv:</t>
    </r>
    <r>
      <rPr>
        <sz val="11"/>
        <color theme="7" tint="-0.499984740745262"/>
        <rFont val="Calibri"/>
        <family val="2"/>
        <scheme val="minor"/>
      </rPr>
      <t xml:space="preserve"> (Optional) The future value, or a cash balance you want to attain after the last payment is made. If omitted, it's assumed to be 0.</t>
    </r>
  </si>
  <si>
    <r>
      <t>type:</t>
    </r>
    <r>
      <rPr>
        <sz val="11"/>
        <color theme="7" tint="-0.499984740745262"/>
        <rFont val="Calibri"/>
        <family val="2"/>
        <scheme val="minor"/>
      </rPr>
      <t xml:space="preserve"> (Optional) When payments are due: 0 for end of the period, 1 for beginning of the period. If omitted, it defaults to 0.</t>
    </r>
  </si>
  <si>
    <t>Loan</t>
  </si>
  <si>
    <t>Customer</t>
  </si>
  <si>
    <t>Loan Amount</t>
  </si>
  <si>
    <t>Rate</t>
  </si>
  <si>
    <t>Loan Period in Year</t>
  </si>
  <si>
    <t>Monthly Pay</t>
  </si>
  <si>
    <t>IPMT is an Excel function that calculates the interest payment for a given period of a loan or investment.  </t>
  </si>
  <si>
    <t>IPMT stands for "interest payment".</t>
  </si>
  <si>
    <t>IPMT function arguments </t>
  </si>
  <si>
    <t>IPMT(RATE, PER, NPER, PV)</t>
  </si>
  <si>
    <r>
      <t>Rate</t>
    </r>
    <r>
      <rPr>
        <sz val="11"/>
        <color theme="9" tint="-0.249977111117893"/>
        <rFont val="Cambria"/>
        <family val="1"/>
      </rPr>
      <t>: The interest rate per period</t>
    </r>
  </si>
  <si>
    <r>
      <t>Per</t>
    </r>
    <r>
      <rPr>
        <sz val="11"/>
        <color theme="9" tint="-0.249977111117893"/>
        <rFont val="Cambria"/>
        <family val="1"/>
      </rPr>
      <t>: The period for which you want to find the interest</t>
    </r>
  </si>
  <si>
    <r>
      <t>Nper</t>
    </r>
    <r>
      <rPr>
        <sz val="11"/>
        <color theme="9" tint="-0.249977111117893"/>
        <rFont val="Cambria"/>
        <family val="1"/>
      </rPr>
      <t>: The total number of payment periods in an annuity</t>
    </r>
  </si>
  <si>
    <r>
      <t>Pv</t>
    </r>
    <r>
      <rPr>
        <sz val="11"/>
        <color theme="9" tint="-0.249977111117893"/>
        <rFont val="Cambria"/>
        <family val="1"/>
      </rPr>
      <t>: The present value, or the lump-sum amount that a series of future payments is worth right now</t>
    </r>
  </si>
  <si>
    <r>
      <t>Fv</t>
    </r>
    <r>
      <rPr>
        <sz val="11"/>
        <color theme="9" tint="-0.249977111117893"/>
        <rFont val="Cambria"/>
        <family val="1"/>
      </rPr>
      <t>: The future value, or a cash balance you want to attain after the last payment is made</t>
    </r>
  </si>
  <si>
    <t>Total Intrest</t>
  </si>
  <si>
    <t>installment By each Month</t>
  </si>
  <si>
    <t>PPMT in Excel stands for Principal Payment. </t>
  </si>
  <si>
    <t>It's a financial function that calculates the principal portion of a loan payment for a given period. </t>
  </si>
  <si>
    <t>PPMT(rate, per, nper, pv, [fv], [type])</t>
  </si>
  <si>
    <r>
      <t>Rate</t>
    </r>
    <r>
      <rPr>
        <sz val="11"/>
        <color theme="9" tint="-0.249977111117893"/>
        <rFont val="Berlin Sans FB"/>
        <family val="2"/>
      </rPr>
      <t>:    The interest rate</t>
    </r>
  </si>
  <si>
    <r>
      <t>Per</t>
    </r>
    <r>
      <rPr>
        <sz val="11"/>
        <color theme="9" tint="-0.249977111117893"/>
        <rFont val="Berlin Sans FB"/>
        <family val="2"/>
      </rPr>
      <t>:     The period number</t>
    </r>
  </si>
  <si>
    <r>
      <t>Nper</t>
    </r>
    <r>
      <rPr>
        <sz val="11"/>
        <color theme="9" tint="-0.249977111117893"/>
        <rFont val="Berlin Sans FB"/>
        <family val="2"/>
      </rPr>
      <t>:    The total number of periods</t>
    </r>
  </si>
  <si>
    <r>
      <t>Pv</t>
    </r>
    <r>
      <rPr>
        <sz val="11"/>
        <color theme="9" tint="-0.249977111117893"/>
        <rFont val="Berlin Sans FB"/>
        <family val="2"/>
      </rPr>
      <t>:     The principal value of the loan</t>
    </r>
  </si>
  <si>
    <r>
      <t>Fv</t>
    </r>
    <r>
      <rPr>
        <sz val="11"/>
        <color theme="9" tint="-0.249977111117893"/>
        <rFont val="Berlin Sans FB"/>
        <family val="2"/>
      </rPr>
      <t>:     The future value</t>
    </r>
  </si>
  <si>
    <r>
      <t>Type</t>
    </r>
    <r>
      <rPr>
        <sz val="11"/>
        <color theme="9" tint="-0.249977111117893"/>
        <rFont val="Berlin Sans FB"/>
        <family val="2"/>
      </rPr>
      <t>:     Whether the payment is made at the beginning or end of the month</t>
    </r>
  </si>
  <si>
    <t>Principal Amount per Month</t>
  </si>
  <si>
    <t>intrest per Month</t>
  </si>
  <si>
    <t>Total Installment Per Month</t>
  </si>
  <si>
    <t>loan</t>
  </si>
  <si>
    <t>Year</t>
  </si>
  <si>
    <t>monthly installment</t>
  </si>
  <si>
    <t>Calculate the 50k loan amount for 3 year and intrest is 15%</t>
  </si>
  <si>
    <t>Installment without intrest</t>
  </si>
  <si>
    <t>Amount</t>
  </si>
  <si>
    <t>Month</t>
  </si>
  <si>
    <t>With Intrest Amount</t>
  </si>
  <si>
    <t>Without Intrest Amount</t>
  </si>
  <si>
    <t>Monthly Intrest</t>
  </si>
  <si>
    <t>year</t>
  </si>
  <si>
    <t>pmt</t>
  </si>
  <si>
    <t>PPMT</t>
  </si>
  <si>
    <t>IPMT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</si>
</sst>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9" tint="-0.249977111117893"/>
      <name val="Cambria"/>
      <family val="1"/>
    </font>
    <font>
      <sz val="11"/>
      <color theme="9" tint="-0.249977111117893"/>
      <name val="Cambria"/>
      <family val="1"/>
    </font>
    <font>
      <b/>
      <sz val="14"/>
      <color theme="1"/>
      <name val="Bookman Old Style"/>
      <family val="1"/>
    </font>
    <font>
      <sz val="16"/>
      <color theme="1"/>
      <name val="Bookman Old Style"/>
      <family val="1"/>
    </font>
    <font>
      <b/>
      <sz val="12"/>
      <color rgb="FFFF0000"/>
      <name val="Courier New"/>
      <family val="3"/>
    </font>
    <font>
      <b/>
      <sz val="11"/>
      <color theme="9" tint="-0.249977111117893"/>
      <name val="Berlin Sans FB"/>
      <family val="2"/>
    </font>
    <font>
      <sz val="11"/>
      <color theme="9" tint="-0.249977111117893"/>
      <name val="Berlin Sans FB"/>
      <family val="2"/>
    </font>
    <font>
      <b/>
      <sz val="12"/>
      <color theme="1"/>
      <name val="Baskerville Old Face"/>
      <family val="1"/>
    </font>
    <font>
      <b/>
      <sz val="11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8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4" fillId="0" borderId="1" xfId="0" applyFont="1" applyBorder="1"/>
    <xf numFmtId="9" fontId="4" fillId="0" borderId="1" xfId="0" applyNumberFormat="1" applyFont="1" applyBorder="1"/>
    <xf numFmtId="0" fontId="9" fillId="2" borderId="1" xfId="0" applyFont="1" applyFill="1" applyBorder="1"/>
    <xf numFmtId="0" fontId="10" fillId="0" borderId="1" xfId="0" applyFont="1" applyBorder="1"/>
    <xf numFmtId="0" fontId="10" fillId="0" borderId="0" xfId="0" applyFont="1"/>
    <xf numFmtId="8" fontId="2" fillId="0" borderId="0" xfId="0" applyNumberFormat="1" applyFont="1" applyAlignment="1">
      <alignment vertical="center"/>
    </xf>
    <xf numFmtId="8" fontId="1" fillId="0" borderId="0" xfId="0" applyNumberFormat="1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4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left" vertical="center" indent="1"/>
    </xf>
    <xf numFmtId="0" fontId="19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20" fillId="0" borderId="1" xfId="0" applyFont="1" applyBorder="1"/>
    <xf numFmtId="9" fontId="20" fillId="0" borderId="1" xfId="0" applyNumberFormat="1" applyFont="1" applyBorder="1"/>
    <xf numFmtId="0" fontId="1" fillId="3" borderId="0" xfId="0" applyFont="1" applyFill="1"/>
    <xf numFmtId="8" fontId="6" fillId="4" borderId="0" xfId="0" applyNumberFormat="1" applyFont="1" applyFill="1"/>
    <xf numFmtId="0" fontId="10" fillId="0" borderId="0" xfId="0" applyFont="1" applyFill="1" applyBorder="1"/>
    <xf numFmtId="0" fontId="0" fillId="5" borderId="1" xfId="0" applyFill="1" applyBorder="1"/>
    <xf numFmtId="0" fontId="9" fillId="4" borderId="1" xfId="0" applyFont="1" applyFill="1" applyBorder="1" applyAlignment="1">
      <alignment horizontal="center"/>
    </xf>
    <xf numFmtId="0" fontId="21" fillId="0" borderId="1" xfId="0" applyFont="1" applyBorder="1"/>
    <xf numFmtId="9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8" fontId="1" fillId="5" borderId="1" xfId="0" applyNumberFormat="1" applyFont="1" applyFill="1" applyBorder="1"/>
    <xf numFmtId="8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0066-F369-42DC-80EF-4AAD6E3BFC4D}">
  <dimension ref="C3:F31"/>
  <sheetViews>
    <sheetView topLeftCell="C22" zoomScale="174" workbookViewId="0">
      <selection activeCell="H8" sqref="H8"/>
    </sheetView>
  </sheetViews>
  <sheetFormatPr defaultRowHeight="14.4"/>
  <cols>
    <col min="5" max="5" width="19.21875" bestFit="1" customWidth="1"/>
    <col min="6" max="6" width="12.44140625" bestFit="1" customWidth="1"/>
  </cols>
  <sheetData>
    <row r="3" spans="3:6" ht="15.6">
      <c r="C3" s="22" t="s">
        <v>3</v>
      </c>
    </row>
    <row r="4" spans="3:6" ht="15.6">
      <c r="C4" s="22" t="s">
        <v>4</v>
      </c>
    </row>
    <row r="5" spans="3:6" ht="21">
      <c r="C5" s="4"/>
    </row>
    <row r="6" spans="3:6">
      <c r="D6" s="5" t="s">
        <v>0</v>
      </c>
    </row>
    <row r="8" spans="3:6">
      <c r="D8" s="1" t="s">
        <v>1</v>
      </c>
    </row>
    <row r="9" spans="3:6">
      <c r="D9" s="6" t="s">
        <v>5</v>
      </c>
      <c r="E9" s="7"/>
      <c r="F9" s="7"/>
    </row>
    <row r="10" spans="3:6">
      <c r="D10" s="6" t="s">
        <v>6</v>
      </c>
      <c r="E10" s="7"/>
      <c r="F10" s="7"/>
    </row>
    <row r="11" spans="3:6">
      <c r="D11" s="6" t="s">
        <v>7</v>
      </c>
      <c r="E11" s="7"/>
      <c r="F11" s="7"/>
    </row>
    <row r="12" spans="3:6">
      <c r="D12" s="6" t="s">
        <v>8</v>
      </c>
      <c r="E12" s="7"/>
      <c r="F12" s="7"/>
    </row>
    <row r="13" spans="3:6">
      <c r="D13" s="6" t="s">
        <v>9</v>
      </c>
      <c r="E13" s="7"/>
      <c r="F13" s="7"/>
    </row>
    <row r="17" spans="4:6" ht="15.6">
      <c r="E17" s="10" t="s">
        <v>10</v>
      </c>
      <c r="F17" s="10" t="s">
        <v>11</v>
      </c>
    </row>
    <row r="18" spans="4:6" ht="15.6">
      <c r="E18" s="11" t="s">
        <v>12</v>
      </c>
      <c r="F18" s="8">
        <v>25000</v>
      </c>
    </row>
    <row r="19" spans="4:6" ht="15.6">
      <c r="E19" s="11" t="s">
        <v>13</v>
      </c>
      <c r="F19" s="9">
        <v>0.1</v>
      </c>
    </row>
    <row r="20" spans="4:6" ht="15.6">
      <c r="E20" s="11" t="s">
        <v>14</v>
      </c>
      <c r="F20" s="8">
        <v>1</v>
      </c>
    </row>
    <row r="23" spans="4:6" ht="15.6">
      <c r="E23" s="12" t="s">
        <v>15</v>
      </c>
      <c r="F23" s="14">
        <f>PMT(F19/12,F20*12,-F18)</f>
        <v>2197.8971807502398</v>
      </c>
    </row>
    <row r="29" spans="4:6">
      <c r="D29" t="s">
        <v>2</v>
      </c>
    </row>
    <row r="31" spans="4:6">
      <c r="E31" s="13">
        <f>PMT(5%/12, 5*12, -100000)</f>
        <v>1887.1233644010936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99DC-DBCA-41BC-AB8B-A2CE3EE6B7CC}">
  <dimension ref="F6:K21"/>
  <sheetViews>
    <sheetView topLeftCell="E3" zoomScale="226" workbookViewId="0">
      <selection activeCell="J11" sqref="J11"/>
    </sheetView>
  </sheetViews>
  <sheetFormatPr defaultRowHeight="14.4"/>
  <cols>
    <col min="8" max="8" width="11.88671875" bestFit="1" customWidth="1"/>
    <col min="11" max="11" width="17.6640625" bestFit="1" customWidth="1"/>
  </cols>
  <sheetData>
    <row r="6" spans="6:11">
      <c r="H6" s="24" t="s">
        <v>39</v>
      </c>
      <c r="I6" s="24" t="s">
        <v>11</v>
      </c>
      <c r="K6" s="27" t="s">
        <v>41</v>
      </c>
    </row>
    <row r="7" spans="6:11">
      <c r="H7" s="23" t="s">
        <v>12</v>
      </c>
      <c r="I7" s="25">
        <v>200000</v>
      </c>
      <c r="K7" s="28">
        <f>-PMT(I8/12,I9*12,I7)</f>
        <v>4249.4089422536554</v>
      </c>
    </row>
    <row r="8" spans="6:11">
      <c r="H8" s="23" t="s">
        <v>13</v>
      </c>
      <c r="I8" s="26">
        <v>0.1</v>
      </c>
    </row>
    <row r="9" spans="6:11">
      <c r="H9" s="23" t="s">
        <v>40</v>
      </c>
      <c r="I9" s="25">
        <v>5</v>
      </c>
      <c r="K9">
        <f>I7/60</f>
        <v>3333.3333333333335</v>
      </c>
    </row>
    <row r="15" spans="6:11">
      <c r="F15" s="1" t="s">
        <v>42</v>
      </c>
    </row>
    <row r="21" spans="8:8">
      <c r="H21">
        <v>1733.27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21CD-3FBE-438F-956C-8AC1550DC447}">
  <dimension ref="C3:F25"/>
  <sheetViews>
    <sheetView topLeftCell="D41" zoomScale="250" zoomScaleNormal="205" workbookViewId="0">
      <selection activeCell="E45" sqref="E45"/>
    </sheetView>
  </sheetViews>
  <sheetFormatPr defaultRowHeight="14.4"/>
  <cols>
    <col min="5" max="5" width="26.5546875" bestFit="1" customWidth="1"/>
    <col min="6" max="6" width="14.33203125" bestFit="1" customWidth="1"/>
  </cols>
  <sheetData>
    <row r="3" spans="3:4">
      <c r="C3" s="3" t="s">
        <v>16</v>
      </c>
    </row>
    <row r="4" spans="3:4">
      <c r="C4" t="s">
        <v>17</v>
      </c>
    </row>
    <row r="6" spans="3:4">
      <c r="D6" s="5" t="s">
        <v>19</v>
      </c>
    </row>
    <row r="9" spans="3:4">
      <c r="D9" s="15" t="s">
        <v>18</v>
      </c>
    </row>
    <row r="10" spans="3:4">
      <c r="D10" s="16" t="s">
        <v>20</v>
      </c>
    </row>
    <row r="11" spans="3:4">
      <c r="D11" s="16" t="s">
        <v>21</v>
      </c>
    </row>
    <row r="12" spans="3:4">
      <c r="D12" s="16" t="s">
        <v>22</v>
      </c>
    </row>
    <row r="13" spans="3:4">
      <c r="D13" s="16" t="s">
        <v>23</v>
      </c>
    </row>
    <row r="14" spans="3:4">
      <c r="D14" s="16" t="s">
        <v>24</v>
      </c>
    </row>
    <row r="18" spans="5:6" ht="15.6">
      <c r="E18" s="10" t="s">
        <v>10</v>
      </c>
      <c r="F18" s="10" t="s">
        <v>11</v>
      </c>
    </row>
    <row r="19" spans="5:6" ht="15.6">
      <c r="E19" s="11" t="s">
        <v>12</v>
      </c>
      <c r="F19" s="8">
        <v>10000</v>
      </c>
    </row>
    <row r="20" spans="5:6" ht="15.6">
      <c r="E20" s="11" t="s">
        <v>13</v>
      </c>
      <c r="F20" s="9">
        <v>0.08</v>
      </c>
    </row>
    <row r="21" spans="5:6" ht="15.6">
      <c r="E21" s="11" t="s">
        <v>14</v>
      </c>
      <c r="F21" s="8">
        <v>2</v>
      </c>
    </row>
    <row r="22" spans="5:6" ht="15.6">
      <c r="E22" s="12"/>
      <c r="F22" s="17"/>
    </row>
    <row r="23" spans="5:6" ht="15.6">
      <c r="E23" s="12" t="s">
        <v>26</v>
      </c>
      <c r="F23" s="2">
        <f>F25+F24</f>
        <v>483.33333333333337</v>
      </c>
    </row>
    <row r="24" spans="5:6" ht="15.6">
      <c r="E24" s="12" t="s">
        <v>25</v>
      </c>
      <c r="F24" s="14">
        <f>-IPMT(F20/12,1,F21*12,F19)</f>
        <v>66.666666666666671</v>
      </c>
    </row>
    <row r="25" spans="5:6" ht="15.6">
      <c r="E25" s="29" t="s">
        <v>43</v>
      </c>
      <c r="F25">
        <f>F19/24</f>
        <v>416.66666666666669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763A-CCDD-43B3-96C3-DA0F046AEE96}">
  <dimension ref="C3:J26"/>
  <sheetViews>
    <sheetView topLeftCell="F7" zoomScale="252" workbookViewId="0">
      <selection activeCell="J17" sqref="J17"/>
    </sheetView>
  </sheetViews>
  <sheetFormatPr defaultRowHeight="14.4"/>
  <cols>
    <col min="5" max="5" width="7.109375" customWidth="1"/>
    <col min="6" max="6" width="10" bestFit="1" customWidth="1"/>
    <col min="7" max="7" width="24.6640625" bestFit="1" customWidth="1"/>
    <col min="8" max="8" width="10.44140625" bestFit="1" customWidth="1"/>
  </cols>
  <sheetData>
    <row r="3" spans="3:8" ht="18">
      <c r="C3" s="18" t="s">
        <v>27</v>
      </c>
    </row>
    <row r="4" spans="3:8" ht="20.399999999999999">
      <c r="C4" s="19" t="s">
        <v>28</v>
      </c>
    </row>
    <row r="6" spans="3:8" ht="16.2">
      <c r="E6" s="20" t="s">
        <v>29</v>
      </c>
    </row>
    <row r="8" spans="3:8" ht="15">
      <c r="F8" s="21" t="s">
        <v>30</v>
      </c>
    </row>
    <row r="9" spans="3:8" ht="15">
      <c r="F9" s="21" t="s">
        <v>31</v>
      </c>
    </row>
    <row r="10" spans="3:8" ht="15">
      <c r="F10" s="21" t="s">
        <v>32</v>
      </c>
    </row>
    <row r="11" spans="3:8" ht="15">
      <c r="F11" s="21" t="s">
        <v>33</v>
      </c>
    </row>
    <row r="12" spans="3:8" ht="15">
      <c r="F12" s="21" t="s">
        <v>34</v>
      </c>
    </row>
    <row r="13" spans="3:8" ht="15">
      <c r="F13" s="21" t="s">
        <v>35</v>
      </c>
    </row>
    <row r="16" spans="3:8" ht="15.6">
      <c r="G16" s="10" t="s">
        <v>10</v>
      </c>
      <c r="H16" s="10" t="s">
        <v>11</v>
      </c>
    </row>
    <row r="17" spans="7:10" ht="15.6">
      <c r="G17" s="11" t="s">
        <v>12</v>
      </c>
      <c r="H17" s="8">
        <v>10000</v>
      </c>
      <c r="J17" s="14">
        <f>-PPMT(H18/12,1,H19*12,H17)</f>
        <v>385.60624789517482</v>
      </c>
    </row>
    <row r="18" spans="7:10" ht="15.6">
      <c r="G18" s="11" t="s">
        <v>13</v>
      </c>
      <c r="H18" s="9">
        <v>0.08</v>
      </c>
    </row>
    <row r="19" spans="7:10" ht="15.6">
      <c r="G19" s="11" t="s">
        <v>14</v>
      </c>
      <c r="H19" s="8">
        <v>2</v>
      </c>
    </row>
    <row r="24" spans="7:10">
      <c r="G24" t="s">
        <v>36</v>
      </c>
      <c r="H24" s="2">
        <f>-PPMT(H18/12,1,H19*12,H17)</f>
        <v>385.60624789517482</v>
      </c>
    </row>
    <row r="25" spans="7:10">
      <c r="G25" t="s">
        <v>37</v>
      </c>
      <c r="H25" s="2">
        <f>-IPMT(H18/12,1,H19*12,H17)</f>
        <v>66.666666666666671</v>
      </c>
    </row>
    <row r="26" spans="7:10">
      <c r="G26" t="s">
        <v>38</v>
      </c>
      <c r="H26" s="2">
        <f>-PMT(H18/12,H19*12,H17)</f>
        <v>452.2729145618415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8589-D9CB-46A6-8D00-2FA4B40C2497}">
  <dimension ref="D5:H12"/>
  <sheetViews>
    <sheetView tabSelected="1" topLeftCell="C4" zoomScale="263" workbookViewId="0">
      <selection activeCell="F13" sqref="F13"/>
    </sheetView>
  </sheetViews>
  <sheetFormatPr defaultRowHeight="14.4"/>
  <cols>
    <col min="5" max="5" width="20.6640625" bestFit="1" customWidth="1"/>
    <col min="6" max="6" width="10.5546875" bestFit="1" customWidth="1"/>
  </cols>
  <sheetData>
    <row r="5" spans="4:8" ht="15.6">
      <c r="E5" s="31" t="s">
        <v>44</v>
      </c>
      <c r="F5" s="31" t="s">
        <v>13</v>
      </c>
      <c r="G5" s="31" t="s">
        <v>49</v>
      </c>
      <c r="H5" s="31" t="s">
        <v>45</v>
      </c>
    </row>
    <row r="6" spans="4:8">
      <c r="E6" s="30">
        <v>500000</v>
      </c>
      <c r="F6" s="33">
        <v>0.1</v>
      </c>
      <c r="G6" s="34">
        <v>8</v>
      </c>
      <c r="H6" s="30">
        <f>G6*12</f>
        <v>96</v>
      </c>
    </row>
    <row r="10" spans="4:8">
      <c r="D10" t="s">
        <v>50</v>
      </c>
      <c r="E10" s="32" t="s">
        <v>46</v>
      </c>
      <c r="F10" s="35">
        <f>-PMT(F6/12,H6,E6)</f>
        <v>7587.0820489021653</v>
      </c>
    </row>
    <row r="11" spans="4:8">
      <c r="D11" t="s">
        <v>51</v>
      </c>
      <c r="E11" s="32" t="s">
        <v>47</v>
      </c>
      <c r="F11" s="35">
        <f>-PPMT(F6/12,1,H6,E6)</f>
        <v>3420.4153822354992</v>
      </c>
    </row>
    <row r="12" spans="4:8">
      <c r="D12" t="s">
        <v>52</v>
      </c>
      <c r="E12" s="32" t="s">
        <v>48</v>
      </c>
      <c r="F12" s="36">
        <f>-IPMT(F6/12,1,H6,E6)</f>
        <v>4166.666666666667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PMT.</vt:lpstr>
      <vt:lpstr>Sheet1</vt:lpstr>
      <vt:lpstr>IPMT</vt:lpstr>
      <vt:lpstr>PPMT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PAPPU KUMAR</dc:creator>
  <cp:lastModifiedBy>PAPPU KUMAR</cp:lastModifiedBy>
  <dcterms:created xsi:type="dcterms:W3CDTF">2025-03-01T18:30:46Z</dcterms:created>
  <dcterms:modified xsi:type="dcterms:W3CDTF">2025-03-02T06:15:01Z</dcterms:modified>
</cp:coreProperties>
</file>